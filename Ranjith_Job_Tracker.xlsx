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8d2746219f76f9e/Desktop/Ireland CV 2024 - 2026/NEW 2026/Simplify Resumes/"/>
    </mc:Choice>
  </mc:AlternateContent>
  <xr:revisionPtr revIDLastSave="4" documentId="11_57EC8852186CDB3F9A6B3F84E51F1CCA7E9E73DD" xr6:coauthVersionLast="47" xr6:coauthVersionMax="47" xr10:uidLastSave="{BFEE641B-B850-4F4F-8E88-0ADDF5B76B91}"/>
  <bookViews>
    <workbookView xWindow="-108" yWindow="-108" windowWidth="23256" windowHeight="13176" tabRatio="500" xr2:uid="{00000000-000D-0000-FFFF-FFFF00000000}"/>
  </bookViews>
  <sheets>
    <sheet name="Job Tracker" sheetId="1" r:id="rId1"/>
    <sheet name="Resume Key" sheetId="2" r:id="rId2"/>
    <sheet name="Summary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3" l="1"/>
  <c r="B25" i="3"/>
  <c r="B24" i="3"/>
  <c r="B21" i="3"/>
  <c r="B20" i="3"/>
  <c r="B19" i="3"/>
  <c r="B18" i="3"/>
  <c r="B17" i="3"/>
  <c r="B14" i="3"/>
  <c r="B13" i="3"/>
  <c r="B12" i="3"/>
  <c r="B11" i="3"/>
  <c r="B10" i="3"/>
  <c r="B9" i="3"/>
  <c r="B8" i="3"/>
  <c r="B7" i="3"/>
  <c r="B6" i="3"/>
  <c r="B3" i="3"/>
</calcChain>
</file>

<file path=xl/sharedStrings.xml><?xml version="1.0" encoding="utf-8"?>
<sst xmlns="http://schemas.openxmlformats.org/spreadsheetml/2006/main" count="75" uniqueCount="64">
  <si>
    <t>Company</t>
  </si>
  <si>
    <t>Job title</t>
  </si>
  <si>
    <t>Location</t>
  </si>
  <si>
    <t>Job URL</t>
  </si>
  <si>
    <t>Resume</t>
  </si>
  <si>
    <t>Job category</t>
  </si>
  <si>
    <t>Date found</t>
  </si>
  <si>
    <t>Application status</t>
  </si>
  <si>
    <t>Salary</t>
  </si>
  <si>
    <t>Work type</t>
  </si>
  <si>
    <t>Visa/work eligibility</t>
  </si>
  <si>
    <t>Match score</t>
  </si>
  <si>
    <t>Priority</t>
  </si>
  <si>
    <t>Applied date</t>
  </si>
  <si>
    <t>Follow-up date</t>
  </si>
  <si>
    <t>Interview</t>
  </si>
  <si>
    <t>Rejection</t>
  </si>
  <si>
    <t>IBM</t>
  </si>
  <si>
    <t>Associate System Engineer (ASE)</t>
  </si>
  <si>
    <t>India (Base)</t>
  </si>
  <si>
    <t>N/A</t>
  </si>
  <si>
    <t>IT Infrastructure</t>
  </si>
  <si>
    <t>Offer Accepted</t>
  </si>
  <si>
    <t>Full-time</t>
  </si>
  <si>
    <t>N/A (Indian national, India role)</t>
  </si>
  <si>
    <t>A</t>
  </si>
  <si>
    <t>Amazon (via LMETB DFAWS2526)</t>
  </si>
  <si>
    <t>Data Centre Technician Program</t>
  </si>
  <si>
    <t>Dublin</t>
  </si>
  <si>
    <t>D</t>
  </si>
  <si>
    <t>Data Centre</t>
  </si>
  <si>
    <t>01/08/2026</t>
  </si>
  <si>
    <t>Applied</t>
  </si>
  <si>
    <t>Stamp 1G valid to end 2026</t>
  </si>
  <si>
    <t>Legend: Fill in every column for each row you add. Dropdowns are pre-set for Resume, Job category, Application status, Work type, Priority, Visa/work eligibility. Rows 2-3 above are real entries (IBM offer, DFAWS2526 application) shown as a format example.</t>
  </si>
  <si>
    <t>Resume Code</t>
  </si>
  <si>
    <t>Target Track</t>
  </si>
  <si>
    <t>Focus</t>
  </si>
  <si>
    <t>Cloud / DevOps / AWS</t>
  </si>
  <si>
    <t>Terraform, AWS IAM/VPC, Kafka+ECS/Fargate threat detection, IEEE/CLOSER/FLIC publications, Jenkins/CloudWatch</t>
  </si>
  <si>
    <t>B</t>
  </si>
  <si>
    <t>Software / Python / Automation</t>
  </si>
  <si>
    <t>Python ML pipeline (XGBoost/PPO/Isolation Forest), REST API work, Resolvr LangGraph/MCP project</t>
  </si>
  <si>
    <t>C</t>
  </si>
  <si>
    <t>General IT / Technical Support / QA</t>
  </si>
  <si>
    <t>Troubleshooting-framed NCI+Turtlewig+Inovera experience, Pytest/FastAPI TestClient QA angle</t>
  </si>
  <si>
    <t>Data Centre Technician (DFAWS2526)</t>
  </si>
  <si>
    <t>Systems &amp; networking led, Turtlewig excluded, lab coordinator + IoT/ML final-year project emphasized</t>
  </si>
  <si>
    <t>Job Search Summary</t>
  </si>
  <si>
    <t>Total rows logged</t>
  </si>
  <si>
    <t>By Application Status</t>
  </si>
  <si>
    <t>Not Applied</t>
  </si>
  <si>
    <t>Under Review</t>
  </si>
  <si>
    <t>Interview Scheduled</t>
  </si>
  <si>
    <t>Interview Completed</t>
  </si>
  <si>
    <t>Offer</t>
  </si>
  <si>
    <t>Rejected</t>
  </si>
  <si>
    <t>Withdrawn</t>
  </si>
  <si>
    <t>By Job Category</t>
  </si>
  <si>
    <t>Cloud/DevOps</t>
  </si>
  <si>
    <t>Software/Automation</t>
  </si>
  <si>
    <t>IT Support/QA</t>
  </si>
  <si>
    <t>Other</t>
  </si>
  <si>
    <t>By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</si>
</sst>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7">
    <dxf>
      <font>
        <b/>
      </font>
      <fill>
        <patternFill>
          <bgColor rgb="FFF4CCCC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ColWidth="8.6640625" defaultRowHeight="14.4" x14ac:dyDescent="0.3"/>
  <cols>
    <col min="1" max="1" width="21.88671875" customWidth="1"/>
    <col min="2" max="2" width="29.109375" customWidth="1"/>
    <col min="3" max="3" width="14" customWidth="1"/>
    <col min="4" max="4" width="24" customWidth="1"/>
    <col min="5" max="5" width="9" customWidth="1"/>
    <col min="6" max="6" width="16" customWidth="1"/>
    <col min="7" max="7" width="13" customWidth="1"/>
    <col min="8" max="8" width="16" customWidth="1"/>
    <col min="9" max="10" width="12" customWidth="1"/>
    <col min="11" max="11" width="26.6640625" customWidth="1"/>
    <col min="12" max="12" width="11" customWidth="1"/>
    <col min="13" max="13" width="9" customWidth="1"/>
    <col min="14" max="15" width="13" customWidth="1"/>
    <col min="16" max="16" width="12" customWidth="1"/>
    <col min="17" max="17" width="16" customWidth="1"/>
  </cols>
  <sheetData>
    <row r="1" spans="1:17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3" t="s">
        <v>17</v>
      </c>
      <c r="B2" s="3" t="s">
        <v>18</v>
      </c>
      <c r="C2" s="3" t="s">
        <v>19</v>
      </c>
      <c r="D2" s="3"/>
      <c r="E2" s="3" t="s">
        <v>20</v>
      </c>
      <c r="F2" s="3" t="s">
        <v>21</v>
      </c>
      <c r="G2" s="3"/>
      <c r="H2" s="3" t="s">
        <v>22</v>
      </c>
      <c r="I2" s="3"/>
      <c r="J2" s="3" t="s">
        <v>23</v>
      </c>
      <c r="K2" s="3" t="s">
        <v>24</v>
      </c>
      <c r="L2" s="3"/>
      <c r="M2" s="3" t="s">
        <v>25</v>
      </c>
      <c r="N2" s="3"/>
      <c r="O2" s="3"/>
      <c r="P2" s="3"/>
      <c r="Q2" s="3"/>
    </row>
    <row r="3" spans="1:17" x14ac:dyDescent="0.3">
      <c r="A3" s="3" t="s">
        <v>26</v>
      </c>
      <c r="B3" s="3" t="s">
        <v>27</v>
      </c>
      <c r="C3" s="3" t="s">
        <v>28</v>
      </c>
      <c r="D3" s="3"/>
      <c r="E3" s="3" t="s">
        <v>29</v>
      </c>
      <c r="F3" s="3" t="s">
        <v>30</v>
      </c>
      <c r="G3" s="3" t="s">
        <v>31</v>
      </c>
      <c r="H3" s="3" t="s">
        <v>32</v>
      </c>
      <c r="I3" s="3"/>
      <c r="J3" s="3" t="s">
        <v>23</v>
      </c>
      <c r="K3" s="3" t="s">
        <v>33</v>
      </c>
      <c r="L3" s="3"/>
      <c r="M3" s="3" t="s">
        <v>25</v>
      </c>
      <c r="N3" s="3" t="s">
        <v>31</v>
      </c>
      <c r="O3" s="3"/>
      <c r="P3" s="3"/>
      <c r="Q3" s="3"/>
    </row>
    <row r="4" spans="1:17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3" spans="1:17" x14ac:dyDescent="0.3">
      <c r="A63" s="1" t="s">
        <v>34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</sheetData>
  <mergeCells count="1">
    <mergeCell ref="A63:Q63"/>
  </mergeCells>
  <conditionalFormatting sqref="H2:H60">
    <cfRule type="cellIs" dxfId="6" priority="2" operator="equal">
      <formula>"Offer"</formula>
    </cfRule>
    <cfRule type="cellIs" dxfId="5" priority="3" operator="equal">
      <formula>"Offer Accepted"</formula>
    </cfRule>
    <cfRule type="cellIs" dxfId="4" priority="4" operator="equal">
      <formula>"Rejected"</formula>
    </cfRule>
    <cfRule type="cellIs" dxfId="3" priority="5" operator="equal">
      <formula>"Interview Scheduled"</formula>
    </cfRule>
    <cfRule type="cellIs" dxfId="2" priority="6" operator="equal">
      <formula>"Interview Completed"</formula>
    </cfRule>
    <cfRule type="cellIs" dxfId="1" priority="7" operator="equal">
      <formula>"Applied"</formula>
    </cfRule>
  </conditionalFormatting>
  <conditionalFormatting sqref="M2:M60">
    <cfRule type="cellIs" dxfId="0" priority="8" operator="equal">
      <formula>"A"</formula>
    </cfRule>
  </conditionalFormatting>
  <dataValidations count="6">
    <dataValidation type="list" allowBlank="1" sqref="E2:E60" xr:uid="{00000000-0002-0000-0000-000000000000}">
      <formula1>"A,B,C,D"</formula1>
      <formula2>0</formula2>
    </dataValidation>
    <dataValidation type="list" allowBlank="1" sqref="F2:F60" xr:uid="{00000000-0002-0000-0000-000001000000}">
      <formula1>"Data Centre,Cloud/DevOps,Software/Automation,IT Support/QA,Other"</formula1>
      <formula2>0</formula2>
    </dataValidation>
    <dataValidation type="list" allowBlank="1" sqref="H2:H60" xr:uid="{00000000-0002-0000-0000-000002000000}">
      <formula1>"Not Applied,Applied,Under Review,Interview Scheduled,Interview Completed,Offer,Offer Accepted,Rejected,Withdrawn"</formula1>
      <formula2>0</formula2>
    </dataValidation>
    <dataValidation type="list" allowBlank="1" sqref="J2:J60" xr:uid="{00000000-0002-0000-0000-000003000000}">
      <formula1>"Full-time,Part-time,Contract,Internship"</formula1>
      <formula2>0</formula2>
    </dataValidation>
    <dataValidation type="list" allowBlank="1" sqref="M2:M60" xr:uid="{00000000-0002-0000-0000-000004000000}">
      <formula1>"A,B,C"</formula1>
      <formula2>0</formula2>
    </dataValidation>
    <dataValidation type="list" allowBlank="1" sqref="K2:K60" xr:uid="{00000000-0002-0000-0000-000005000000}">
      <formula1>"Eligible,Sponsorship Required,Check,N/A"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0" customWidth="1"/>
    <col min="3" max="3" width="70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ht="26.4" x14ac:dyDescent="0.3">
      <c r="A2" s="5" t="s">
        <v>25</v>
      </c>
      <c r="B2" s="5" t="s">
        <v>38</v>
      </c>
      <c r="C2" s="5" t="s">
        <v>39</v>
      </c>
    </row>
    <row r="3" spans="1:3" ht="26.4" x14ac:dyDescent="0.3">
      <c r="A3" s="5" t="s">
        <v>40</v>
      </c>
      <c r="B3" s="5" t="s">
        <v>41</v>
      </c>
      <c r="C3" s="5" t="s">
        <v>42</v>
      </c>
    </row>
    <row r="4" spans="1:3" ht="26.4" x14ac:dyDescent="0.3">
      <c r="A4" s="5" t="s">
        <v>43</v>
      </c>
      <c r="B4" s="5" t="s">
        <v>44</v>
      </c>
      <c r="C4" s="5" t="s">
        <v>45</v>
      </c>
    </row>
    <row r="5" spans="1:3" ht="26.4" x14ac:dyDescent="0.3">
      <c r="A5" s="5" t="s">
        <v>29</v>
      </c>
      <c r="B5" s="5" t="s">
        <v>46</v>
      </c>
      <c r="C5" s="5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2" customWidth="1"/>
  </cols>
  <sheetData>
    <row r="1" spans="1:2" ht="17.399999999999999" x14ac:dyDescent="0.3">
      <c r="A1" s="6" t="s">
        <v>48</v>
      </c>
    </row>
    <row r="3" spans="1:2" x14ac:dyDescent="0.3">
      <c r="A3" t="s">
        <v>49</v>
      </c>
      <c r="B3">
        <f>COUNTA('Job Tracker'!A2:A60)</f>
        <v>2</v>
      </c>
    </row>
    <row r="5" spans="1:2" x14ac:dyDescent="0.3">
      <c r="A5" s="7" t="s">
        <v>50</v>
      </c>
    </row>
    <row r="6" spans="1:2" x14ac:dyDescent="0.3">
      <c r="A6" s="8" t="s">
        <v>51</v>
      </c>
      <c r="B6" s="8">
        <f>COUNTIF('Job Tracker'!$H$2:$H$60,A6)</f>
        <v>0</v>
      </c>
    </row>
    <row r="7" spans="1:2" x14ac:dyDescent="0.3">
      <c r="A7" s="8" t="s">
        <v>32</v>
      </c>
      <c r="B7" s="8">
        <f>COUNTIF('Job Tracker'!$H$2:$H$60,A7)</f>
        <v>1</v>
      </c>
    </row>
    <row r="8" spans="1:2" x14ac:dyDescent="0.3">
      <c r="A8" s="8" t="s">
        <v>52</v>
      </c>
      <c r="B8" s="8">
        <f>COUNTIF('Job Tracker'!$H$2:$H$60,A8)</f>
        <v>0</v>
      </c>
    </row>
    <row r="9" spans="1:2" x14ac:dyDescent="0.3">
      <c r="A9" s="8" t="s">
        <v>53</v>
      </c>
      <c r="B9" s="8">
        <f>COUNTIF('Job Tracker'!$H$2:$H$60,A9)</f>
        <v>0</v>
      </c>
    </row>
    <row r="10" spans="1:2" x14ac:dyDescent="0.3">
      <c r="A10" s="8" t="s">
        <v>54</v>
      </c>
      <c r="B10" s="8">
        <f>COUNTIF('Job Tracker'!$H$2:$H$60,A10)</f>
        <v>0</v>
      </c>
    </row>
    <row r="11" spans="1:2" x14ac:dyDescent="0.3">
      <c r="A11" s="8" t="s">
        <v>55</v>
      </c>
      <c r="B11" s="8">
        <f>COUNTIF('Job Tracker'!$H$2:$H$60,A11)</f>
        <v>0</v>
      </c>
    </row>
    <row r="12" spans="1:2" x14ac:dyDescent="0.3">
      <c r="A12" s="8" t="s">
        <v>22</v>
      </c>
      <c r="B12" s="8">
        <f>COUNTIF('Job Tracker'!$H$2:$H$60,A12)</f>
        <v>1</v>
      </c>
    </row>
    <row r="13" spans="1:2" x14ac:dyDescent="0.3">
      <c r="A13" s="8" t="s">
        <v>56</v>
      </c>
      <c r="B13" s="8">
        <f>COUNTIF('Job Tracker'!$H$2:$H$60,A13)</f>
        <v>0</v>
      </c>
    </row>
    <row r="14" spans="1:2" x14ac:dyDescent="0.3">
      <c r="A14" s="8" t="s">
        <v>57</v>
      </c>
      <c r="B14" s="8">
        <f>COUNTIF('Job Tracker'!$H$2:$H$60,A14)</f>
        <v>0</v>
      </c>
    </row>
    <row r="16" spans="1:2" x14ac:dyDescent="0.3">
      <c r="A16" s="7" t="s">
        <v>58</v>
      </c>
    </row>
    <row r="17" spans="1:2" x14ac:dyDescent="0.3">
      <c r="A17" s="8" t="s">
        <v>30</v>
      </c>
      <c r="B17" s="8">
        <f>COUNTIF('Job Tracker'!$F$2:$F$60,A17)</f>
        <v>1</v>
      </c>
    </row>
    <row r="18" spans="1:2" x14ac:dyDescent="0.3">
      <c r="A18" s="8" t="s">
        <v>59</v>
      </c>
      <c r="B18" s="8">
        <f>COUNTIF('Job Tracker'!$F$2:$F$60,A18)</f>
        <v>0</v>
      </c>
    </row>
    <row r="19" spans="1:2" x14ac:dyDescent="0.3">
      <c r="A19" s="8" t="s">
        <v>60</v>
      </c>
      <c r="B19" s="8">
        <f>COUNTIF('Job Tracker'!$F$2:$F$60,A19)</f>
        <v>0</v>
      </c>
    </row>
    <row r="20" spans="1:2" x14ac:dyDescent="0.3">
      <c r="A20" s="8" t="s">
        <v>61</v>
      </c>
      <c r="B20" s="8">
        <f>COUNTIF('Job Tracker'!$F$2:$F$60,A20)</f>
        <v>0</v>
      </c>
    </row>
    <row r="21" spans="1:2" x14ac:dyDescent="0.3">
      <c r="A21" s="8" t="s">
        <v>62</v>
      </c>
      <c r="B21" s="8">
        <f>COUNTIF('Job Tracker'!$F$2:$F$60,A21)</f>
        <v>0</v>
      </c>
    </row>
    <row r="23" spans="1:2" x14ac:dyDescent="0.3">
      <c r="A23" s="7" t="s">
        <v>63</v>
      </c>
    </row>
    <row r="24" spans="1:2" x14ac:dyDescent="0.3">
      <c r="A24" s="8" t="s">
        <v>25</v>
      </c>
      <c r="B24" s="8">
        <f>COUNTIF('Job Tracker'!$M$2:$M$60,A24)</f>
        <v>2</v>
      </c>
    </row>
    <row r="25" spans="1:2" x14ac:dyDescent="0.3">
      <c r="A25" s="8" t="s">
        <v>40</v>
      </c>
      <c r="B25" s="8">
        <f>COUNTIF('Job Tracker'!$M$2:$M$60,A25)</f>
        <v>0</v>
      </c>
    </row>
    <row r="26" spans="1:2" x14ac:dyDescent="0.3">
      <c r="A26" s="8" t="s">
        <v>43</v>
      </c>
      <c r="B26" s="8">
        <f>COUNTIF('Job Tracker'!$M$2:$M$60,A26)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Tracker</vt:lpstr>
      <vt:lpstr>Resume Key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RANJITH Bhaskaran</cp:lastModifiedBy>
  <cp:revision>0</cp:revision>
  <dcterms:created xsi:type="dcterms:W3CDTF">2026-09-03T10:31:44Z</dcterms:created>
  <dcterms:modified xsi:type="dcterms:W3CDTF">2026-09-03T10:33:12Z</dcterms:modified>
  <dc:language>en-US</dc:language>
</cp:coreProperties>
</file>