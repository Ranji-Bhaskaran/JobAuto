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0" autoFilterDateGrouping="1"/>
  </bookViews>
  <sheets>
    <sheet name="Job Tracker" sheetId="1" state="visible" r:id="rId1"/>
    <sheet name="Resume Key" sheetId="2" state="visible" r:id="rId2"/>
    <sheet name="Summary" sheetId="3" state="visible" r:id="rId3"/>
  </sheets>
  <definedNames/>
  <calcPr calcId="18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4"/>
    </font>
    <font>
      <name val="Arial"/>
      <charset val="1"/>
      <b val="1"/>
      <sz val="11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pivotButton="0" quotePrefix="0" xfId="0"/>
    <xf numFmtId="0" fontId="2" fillId="0" borderId="1" applyAlignment="1" pivotButton="0" quotePrefix="0" xfId="0">
      <alignment vertical="center" wrapText="1"/>
    </xf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vertical="center"/>
    </xf>
    <xf numFmtId="0" fontId="8" fillId="0" borderId="2" pivotButton="0" quotePrefix="0" xfId="0"/>
    <xf numFmtId="0" fontId="7" fillId="0" borderId="2" applyAlignment="1" pivotButton="0" quotePrefix="0" xfId="0">
      <alignment vertical="center"/>
    </xf>
  </cellXfs>
  <cellStyles count="1">
    <cellStyle name="Normal" xfId="0" builtinId="0"/>
  </cellStyles>
  <dxfs count="12">
    <dxf>
      <font>
        <b val="1"/>
      </font>
      <fill>
        <patternFill>
          <bgColor rgb="FFF4CCCC"/>
        </patternFill>
      </fill>
    </dxf>
    <dxf>
      <fill>
        <patternFill>
          <bgColor rgb="FFDDEBF7"/>
        </patternFill>
      </fill>
    </dxf>
    <dxf>
      <fill>
        <patternFill>
          <bgColor rgb="FFFFEB9C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DEBF7"/>
          <bgColor rgb="00DDEBF7"/>
        </patternFill>
      </fill>
    </dxf>
    <dxf>
      <font>
        <b val="1"/>
      </font>
      <fill>
        <patternFill patternType="solid">
          <fgColor rgb="00F4CCCC"/>
          <bgColor rgb="00F4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ashbyhq.com/cohere/a0f174cf-4407-4334-b812-45a767092fca" TargetMode="External" Id="rId1" /><Relationship Type="http://schemas.openxmlformats.org/officeDocument/2006/relationships/hyperlink" Target="https://remoteOK.com/remote-jobs/remote-qa-engineer-sunnydata-1137300" TargetMode="External" Id="rId2" /><Relationship Type="http://schemas.openxmlformats.org/officeDocument/2006/relationships/hyperlink" Target="https://www.arbeitnow.com/jobs/companies/virtual7-gmbh/remote-kubernetes-administrator-private-cloud-engineer-karlsruhe-54264" TargetMode="External" Id="rId3" /><Relationship Type="http://schemas.openxmlformats.org/officeDocument/2006/relationships/hyperlink" Target="https://weworkremotely.com/remote-jobs/charisma-tec-junior-devops-engineer-ci-cd-developer-tooling-remote-m-f-d" TargetMode="External" Id="rId4" /><Relationship Type="http://schemas.openxmlformats.org/officeDocument/2006/relationships/hyperlink" Target="https://weworkremotely.com/remote-jobs/zowie-devops-engineer" TargetMode="External" Id="rId5" /><Relationship Type="http://schemas.openxmlformats.org/officeDocument/2006/relationships/hyperlink" Target="https://weworkremotely.com/remote-jobs/stadium-aws-devops-engineer" TargetMode="External" Id="rId6" /><Relationship Type="http://schemas.openxmlformats.org/officeDocument/2006/relationships/hyperlink" Target="https://remoteOK.com/remote-jobs/remote-qa-tester-entry-level-ace-it-careers-1136701" TargetMode="External" Id="rId7" /><Relationship Type="http://schemas.openxmlformats.org/officeDocument/2006/relationships/hyperlink" Target="https://remoteOK.com/remote-jobs/remote-software-engineer-ii-golang-stone-1136569" TargetMode="External" Id="rId8" /><Relationship Type="http://schemas.openxmlformats.org/officeDocument/2006/relationships/hyperlink" Target="https://weworkremotely.com/remote-jobs/zenara-health-devops-security-engineer-ai-native-healthcare-saas" TargetMode="External" Id="rId9" /><Relationship Type="http://schemas.openxmlformats.org/officeDocument/2006/relationships/hyperlink" Target="https://weworkremotely.com/remote-jobs/jfrog-professional-services-devops-engineer" TargetMode="External" Id="rId10" /><Relationship Type="http://schemas.openxmlformats.org/officeDocument/2006/relationships/hyperlink" Target="https://jobicy.com/jobs/152920-backend-engineer-platform-stacks-uk-remote" TargetMode="External" Id="rId11" /><Relationship Type="http://schemas.openxmlformats.org/officeDocument/2006/relationships/hyperlink" Target="https://remoteOK.com/remote-jobs/remote-software-engineer-iii-mobile-stone-1136570" TargetMode="External" Id="rId12" /><Relationship Type="http://schemas.openxmlformats.org/officeDocument/2006/relationships/hyperlink" Target="https://remoteOK.com/remote-jobs/remote-software-engineer-go-wakacje-pl-1135634" TargetMode="External" Id="rId13" /><Relationship Type="http://schemas.openxmlformats.org/officeDocument/2006/relationships/hyperlink" Target="https://remoteOK.com/remote-jobs/remote-operations-engineer-ii-aweber-1136778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3"/>
  <sheetViews>
    <sheetView tabSelected="1" zoomScaleNormal="100" workbookViewId="0">
      <pane ySplit="1" topLeftCell="A2" activePane="bottomLeft" state="frozen"/>
      <selection pane="bottomLeft" activeCell="B7" sqref="B7"/>
    </sheetView>
  </sheetViews>
  <sheetFormatPr baseColWidth="8" defaultColWidth="8.6640625" defaultRowHeight="14.4"/>
  <cols>
    <col width="21.88671875" customWidth="1" min="1" max="1"/>
    <col width="29.109375" customWidth="1" min="2" max="2"/>
    <col width="14" customWidth="1" min="3" max="3"/>
    <col width="24" customWidth="1" min="4" max="4"/>
    <col width="9" customWidth="1" min="5" max="5"/>
    <col width="16" customWidth="1" min="6" max="6"/>
    <col width="13" customWidth="1" min="7" max="7"/>
    <col width="16" customWidth="1" min="8" max="8"/>
    <col width="12" customWidth="1" min="9" max="10"/>
    <col width="26.6640625" customWidth="1" min="11" max="11"/>
    <col width="11" customWidth="1" min="12" max="12"/>
    <col width="9" customWidth="1" min="13" max="13"/>
    <col width="13" customWidth="1" min="14" max="15"/>
    <col width="12" customWidth="1" min="16" max="16"/>
    <col width="16" customWidth="1" min="17" max="17"/>
    <col width="40" customWidth="1" min="18" max="18"/>
  </cols>
  <sheetData>
    <row r="1" ht="30" customHeight="1">
      <c r="A1" s="2" t="inlineStr">
        <is>
          <t>Company</t>
        </is>
      </c>
      <c r="B1" s="2" t="inlineStr">
        <is>
          <t>Job title</t>
        </is>
      </c>
      <c r="C1" s="2" t="inlineStr">
        <is>
          <t>Location</t>
        </is>
      </c>
      <c r="D1" s="2" t="inlineStr">
        <is>
          <t>Job URL</t>
        </is>
      </c>
      <c r="E1" s="2" t="inlineStr">
        <is>
          <t>Resume</t>
        </is>
      </c>
      <c r="F1" s="2" t="inlineStr">
        <is>
          <t>Job category</t>
        </is>
      </c>
      <c r="G1" s="2" t="inlineStr">
        <is>
          <t>Date found</t>
        </is>
      </c>
      <c r="H1" s="2" t="inlineStr">
        <is>
          <t>Application status</t>
        </is>
      </c>
      <c r="I1" s="2" t="inlineStr">
        <is>
          <t>Salary</t>
        </is>
      </c>
      <c r="J1" s="2" t="inlineStr">
        <is>
          <t>Work type</t>
        </is>
      </c>
      <c r="K1" s="2" t="inlineStr">
        <is>
          <t>Visa/work eligibility</t>
        </is>
      </c>
      <c r="L1" s="2" t="inlineStr">
        <is>
          <t>Match score</t>
        </is>
      </c>
      <c r="M1" s="2" t="inlineStr">
        <is>
          <t>Priority</t>
        </is>
      </c>
      <c r="N1" s="2" t="inlineStr">
        <is>
          <t>Applied date</t>
        </is>
      </c>
      <c r="O1" s="2" t="inlineStr">
        <is>
          <t>Follow-up date</t>
        </is>
      </c>
      <c r="P1" s="2" t="inlineStr">
        <is>
          <t>Interview</t>
        </is>
      </c>
      <c r="Q1" s="2" t="inlineStr">
        <is>
          <t>Rejection</t>
        </is>
      </c>
      <c r="R1" s="9" t="inlineStr">
        <is>
          <t>Keywords to Add</t>
        </is>
      </c>
    </row>
    <row r="2">
      <c r="A2" s="3" t="inlineStr">
        <is>
          <t>IBM</t>
        </is>
      </c>
      <c r="B2" s="3" t="inlineStr">
        <is>
          <t>Associate System Engineer (ASE)</t>
        </is>
      </c>
      <c r="C2" s="3" t="inlineStr">
        <is>
          <t>India (Base)</t>
        </is>
      </c>
      <c r="D2" s="3" t="n"/>
      <c r="E2" s="3" t="inlineStr">
        <is>
          <t>N/A</t>
        </is>
      </c>
      <c r="F2" s="3" t="inlineStr">
        <is>
          <t>IT Infrastructure</t>
        </is>
      </c>
      <c r="G2" s="3" t="n"/>
      <c r="H2" s="3" t="inlineStr">
        <is>
          <t>Offer Accepted</t>
        </is>
      </c>
      <c r="I2" s="3" t="n"/>
      <c r="J2" s="3" t="inlineStr">
        <is>
          <t>Full-time</t>
        </is>
      </c>
      <c r="K2" s="3" t="inlineStr">
        <is>
          <t>N/A (Indian national, India role)</t>
        </is>
      </c>
      <c r="L2" s="3" t="n"/>
      <c r="M2" s="3" t="inlineStr">
        <is>
          <t>A</t>
        </is>
      </c>
      <c r="N2" s="3" t="n"/>
      <c r="O2" s="3" t="n"/>
      <c r="P2" s="3" t="n"/>
      <c r="Q2" s="3" t="n"/>
    </row>
    <row r="3">
      <c r="A3" s="3" t="inlineStr">
        <is>
          <t>Amazon (via LMETB DFAWS2526)</t>
        </is>
      </c>
      <c r="B3" s="3" t="inlineStr">
        <is>
          <t>Data Centre Technician Program</t>
        </is>
      </c>
      <c r="C3" s="3" t="inlineStr">
        <is>
          <t>Dublin</t>
        </is>
      </c>
      <c r="D3" s="3" t="n"/>
      <c r="E3" s="3" t="inlineStr">
        <is>
          <t>D</t>
        </is>
      </c>
      <c r="F3" s="3" t="inlineStr">
        <is>
          <t>Data Centre</t>
        </is>
      </c>
      <c r="G3" s="3" t="inlineStr">
        <is>
          <t>01/08/2026</t>
        </is>
      </c>
      <c r="H3" s="3" t="inlineStr">
        <is>
          <t>Applied</t>
        </is>
      </c>
      <c r="I3" s="3" t="n"/>
      <c r="J3" s="3" t="inlineStr">
        <is>
          <t>Full-time</t>
        </is>
      </c>
      <c r="K3" s="3" t="inlineStr">
        <is>
          <t>Stamp 1G valid to end 2026</t>
        </is>
      </c>
      <c r="L3" s="3" t="n"/>
      <c r="M3" s="3" t="inlineStr">
        <is>
          <t>A</t>
        </is>
      </c>
      <c r="N3" s="3" t="inlineStr">
        <is>
          <t>01/08/2026</t>
        </is>
      </c>
      <c r="O3" s="3" t="n"/>
      <c r="P3" s="3" t="n"/>
      <c r="Q3" s="3" t="n"/>
    </row>
    <row r="4">
      <c r="A4" s="10" t="inlineStr">
        <is>
          <t>Cohere</t>
        </is>
      </c>
      <c r="B4" s="10" t="inlineStr">
        <is>
          <t>Forward Deployed Engineer</t>
        </is>
      </c>
      <c r="C4" s="10" t="inlineStr">
        <is>
          <t>United Kingdom</t>
        </is>
      </c>
      <c r="D4" s="11" t="inlineStr">
        <is>
          <t>https://jobs.ashbyhq.com/cohere/a0f174cf-4407-4334-b812-45a767092fca</t>
        </is>
      </c>
      <c r="E4" s="10" t="inlineStr">
        <is>
          <t>A</t>
        </is>
      </c>
      <c r="F4" s="10" t="inlineStr">
        <is>
          <t>Cloud/DevOps</t>
        </is>
      </c>
      <c r="G4" s="10" t="inlineStr">
        <is>
          <t>2026-09-06</t>
        </is>
      </c>
      <c r="H4" s="10" t="inlineStr">
        <is>
          <t>Not Applied</t>
        </is>
      </c>
      <c r="I4" s="10" t="inlineStr"/>
      <c r="J4" s="10" t="inlineStr"/>
      <c r="K4" s="10" t="inlineStr">
        <is>
          <t>Not Eligible</t>
        </is>
      </c>
      <c r="L4" s="10" t="n">
        <v>62</v>
      </c>
      <c r="M4" s="4" t="n"/>
      <c r="N4" s="4" t="n"/>
      <c r="O4" s="4" t="n"/>
      <c r="P4" s="4" t="n"/>
      <c r="Q4" s="4" t="n"/>
      <c r="R4" s="10" t="inlineStr">
        <is>
          <t>Infrastructure as Code, CI/CD pipelines, Private cloud, Distributed systems</t>
        </is>
      </c>
    </row>
    <row r="5">
      <c r="A5" s="10" t="inlineStr">
        <is>
          <t>SunnyData</t>
        </is>
      </c>
      <c r="B5" s="10" t="inlineStr">
        <is>
          <t>QA Engineer</t>
        </is>
      </c>
      <c r="C5" s="10" t="inlineStr">
        <is>
          <t>Remote</t>
        </is>
      </c>
      <c r="D5" s="11" t="inlineStr">
        <is>
          <t>https://remoteOK.com/remote-jobs/remote-qa-engineer-sunnydata-1137300</t>
        </is>
      </c>
      <c r="E5" s="10" t="inlineStr">
        <is>
          <t>C</t>
        </is>
      </c>
      <c r="F5" s="10" t="inlineStr">
        <is>
          <t>Quality Assurance</t>
        </is>
      </c>
      <c r="G5" s="10" t="inlineStr">
        <is>
          <t>2026-09-07</t>
        </is>
      </c>
      <c r="H5" s="10" t="inlineStr">
        <is>
          <t>Not Applied</t>
        </is>
      </c>
      <c r="I5" s="10" t="inlineStr"/>
      <c r="J5" s="10" t="inlineStr">
        <is>
          <t>Remote</t>
        </is>
      </c>
      <c r="K5" s="10" t="inlineStr">
        <is>
          <t>Not Eligible</t>
        </is>
      </c>
      <c r="L5" s="10" t="n">
        <v>55</v>
      </c>
      <c r="M5" s="4" t="n"/>
      <c r="N5" s="4" t="n"/>
      <c r="O5" s="4" t="n"/>
      <c r="P5" s="4" t="n"/>
      <c r="Q5" s="4" t="n"/>
      <c r="R5" s="10" t="inlineStr">
        <is>
          <t>CI/CD pipelines, SQL</t>
        </is>
      </c>
    </row>
    <row r="6">
      <c r="A6" s="10" t="inlineStr">
        <is>
          <t>virtual7 GmbH</t>
        </is>
      </c>
      <c r="B6" s="10" t="inlineStr">
        <is>
          <t>Kubernetes Administrator/Private Cloud Engineer (m/w/d)</t>
        </is>
      </c>
      <c r="C6" s="10" t="inlineStr">
        <is>
          <t>Homeoffice</t>
        </is>
      </c>
      <c r="D6" s="11" t="inlineStr">
        <is>
          <t>https://www.arbeitnow.com/jobs/companies/virtual7-gmbh/remote-kubernetes-administrator-private-cloud-engineer-karlsruhe-54264</t>
        </is>
      </c>
      <c r="E6" s="10" t="inlineStr">
        <is>
          <t>A</t>
        </is>
      </c>
      <c r="F6" s="10" t="inlineStr">
        <is>
          <t>Cloud/DevOps</t>
        </is>
      </c>
      <c r="G6" s="10" t="inlineStr">
        <is>
          <t>2026-09-09</t>
        </is>
      </c>
      <c r="H6" s="10" t="inlineStr">
        <is>
          <t>Not Applied</t>
        </is>
      </c>
      <c r="I6" s="10" t="inlineStr"/>
      <c r="J6" s="10" t="inlineStr">
        <is>
          <t>Remote</t>
        </is>
      </c>
      <c r="K6" s="10" t="inlineStr">
        <is>
          <t>Not Eligible</t>
        </is>
      </c>
      <c r="L6" s="10" t="n">
        <v>55</v>
      </c>
      <c r="M6" s="4" t="n"/>
      <c r="N6" s="4" t="n"/>
      <c r="O6" s="4" t="n"/>
      <c r="P6" s="4" t="n"/>
      <c r="Q6" s="4" t="n"/>
      <c r="R6" s="10" t="inlineStr">
        <is>
          <t>DevOps, Continuous Integration &amp; Deployment, Container-Umgebungen</t>
        </is>
      </c>
    </row>
    <row r="7">
      <c r="A7" s="12" t="inlineStr">
        <is>
          <t>Charisma-tec</t>
        </is>
      </c>
      <c r="B7" s="12" t="inlineStr">
        <is>
          <t>Junior DevOps Engineer (CI/CD &amp; Developer Tooling) remote (m/f/d)</t>
        </is>
      </c>
      <c r="C7" s="12" t="inlineStr">
        <is>
          <t>Anywhere in the World</t>
        </is>
      </c>
      <c r="D7" s="11" t="inlineStr">
        <is>
          <t>https://weworkremotely.com/remote-jobs/charisma-tec-junior-devops-engineer-ci-cd-developer-tooling-remote-m-f-d</t>
        </is>
      </c>
      <c r="E7" s="12" t="inlineStr">
        <is>
          <t>A</t>
        </is>
      </c>
      <c r="F7" s="12" t="inlineStr">
        <is>
          <t>Cloud/DevOps</t>
        </is>
      </c>
      <c r="G7" s="12" t="inlineStr">
        <is>
          <t>2026-09-12</t>
        </is>
      </c>
      <c r="H7" s="12" t="inlineStr">
        <is>
          <t>Not Applied</t>
        </is>
      </c>
      <c r="I7" s="12" t="inlineStr"/>
      <c r="J7" s="12" t="inlineStr">
        <is>
          <t>Remote</t>
        </is>
      </c>
      <c r="K7" s="12" t="inlineStr">
        <is>
          <t>Eligible</t>
        </is>
      </c>
      <c r="L7" s="12" t="n">
        <v>92</v>
      </c>
      <c r="M7" s="4" t="n"/>
      <c r="N7" s="4" t="n"/>
      <c r="O7" s="4" t="n"/>
      <c r="P7" s="4" t="n"/>
      <c r="Q7" s="4" t="n"/>
      <c r="R7" s="12" t="inlineStr">
        <is>
          <t>Infrastructure as Code, CI/CD pipelines</t>
        </is>
      </c>
    </row>
    <row r="8">
      <c r="A8" s="12" t="inlineStr">
        <is>
          <t>Zowie</t>
        </is>
      </c>
      <c r="B8" s="12" t="inlineStr">
        <is>
          <t>DevOps Engineer</t>
        </is>
      </c>
      <c r="C8" s="12" t="inlineStr">
        <is>
          <t>Anywhere in the World</t>
        </is>
      </c>
      <c r="D8" s="11" t="inlineStr">
        <is>
          <t>https://weworkremotely.com/remote-jobs/zowie-devops-engineer</t>
        </is>
      </c>
      <c r="E8" s="12" t="inlineStr">
        <is>
          <t>A</t>
        </is>
      </c>
      <c r="F8" s="12" t="inlineStr">
        <is>
          <t>Cloud/DevOps</t>
        </is>
      </c>
      <c r="G8" s="12" t="inlineStr">
        <is>
          <t>2026-09-12</t>
        </is>
      </c>
      <c r="H8" s="12" t="inlineStr">
        <is>
          <t>Not Applied</t>
        </is>
      </c>
      <c r="I8" s="12" t="inlineStr"/>
      <c r="J8" s="12" t="inlineStr">
        <is>
          <t>Remote</t>
        </is>
      </c>
      <c r="K8" s="12" t="inlineStr">
        <is>
          <t>Eligible</t>
        </is>
      </c>
      <c r="L8" s="12" t="n">
        <v>85</v>
      </c>
      <c r="M8" s="4" t="n"/>
      <c r="N8" s="4" t="n"/>
      <c r="O8" s="4" t="n"/>
      <c r="P8" s="4" t="n"/>
      <c r="Q8" s="4" t="n"/>
      <c r="R8" s="12" t="inlineStr">
        <is>
          <t>Infrastructure as Code, IaC, Observability</t>
        </is>
      </c>
    </row>
    <row r="9">
      <c r="A9" s="12" t="inlineStr">
        <is>
          <t>Stadium</t>
        </is>
      </c>
      <c r="B9" s="12" t="inlineStr">
        <is>
          <t>AWS DevOps Engineer</t>
        </is>
      </c>
      <c r="C9" s="12" t="inlineStr">
        <is>
          <t>Anywhere in the World</t>
        </is>
      </c>
      <c r="D9" s="11" t="inlineStr">
        <is>
          <t>https://weworkremotely.com/remote-jobs/stadium-aws-devops-engineer</t>
        </is>
      </c>
      <c r="E9" s="12" t="inlineStr">
        <is>
          <t>A</t>
        </is>
      </c>
      <c r="F9" s="12" t="inlineStr">
        <is>
          <t>Cloud/DevOps</t>
        </is>
      </c>
      <c r="G9" s="12" t="inlineStr">
        <is>
          <t>2026-09-12</t>
        </is>
      </c>
      <c r="H9" s="12" t="inlineStr">
        <is>
          <t>Not Applied</t>
        </is>
      </c>
      <c r="I9" s="12" t="inlineStr"/>
      <c r="J9" s="12" t="inlineStr">
        <is>
          <t>Remote</t>
        </is>
      </c>
      <c r="K9" s="12" t="inlineStr">
        <is>
          <t>Eligible</t>
        </is>
      </c>
      <c r="L9" s="12" t="n">
        <v>82</v>
      </c>
      <c r="M9" s="4" t="n"/>
      <c r="N9" s="4" t="n"/>
      <c r="O9" s="4" t="n"/>
      <c r="P9" s="4" t="n"/>
      <c r="Q9" s="4" t="n"/>
      <c r="R9" s="12" t="inlineStr">
        <is>
          <t>Infrastructure as Code, Observability, High availability</t>
        </is>
      </c>
    </row>
    <row r="10">
      <c r="A10" s="12" t="inlineStr">
        <is>
          <t>Ace IT Careers</t>
        </is>
      </c>
      <c r="B10" s="12" t="inlineStr">
        <is>
          <t>QA Tester Entry Level</t>
        </is>
      </c>
      <c r="C10" s="12" t="inlineStr">
        <is>
          <t>Remote</t>
        </is>
      </c>
      <c r="D10" s="11" t="inlineStr">
        <is>
          <t>https://remoteOK.com/remote-jobs/remote-qa-tester-entry-level-ace-it-careers-1136701</t>
        </is>
      </c>
      <c r="E10" s="12" t="inlineStr">
        <is>
          <t>C</t>
        </is>
      </c>
      <c r="F10" s="12" t="inlineStr">
        <is>
          <t>QA / Testing</t>
        </is>
      </c>
      <c r="G10" s="12" t="inlineStr">
        <is>
          <t>2026-09-12</t>
        </is>
      </c>
      <c r="H10" s="12" t="inlineStr">
        <is>
          <t>Not Applied</t>
        </is>
      </c>
      <c r="I10" s="12" t="inlineStr"/>
      <c r="J10" s="12" t="inlineStr">
        <is>
          <t>Remote</t>
        </is>
      </c>
      <c r="K10" s="12" t="inlineStr">
        <is>
          <t>Eligible</t>
        </is>
      </c>
      <c r="L10" s="12" t="n">
        <v>70</v>
      </c>
      <c r="M10" s="4" t="n"/>
      <c r="N10" s="4" t="n"/>
      <c r="O10" s="4" t="n"/>
      <c r="P10" s="4" t="n"/>
      <c r="Q10" s="4" t="n"/>
      <c r="R10" s="12" t="inlineStr"/>
    </row>
    <row r="11">
      <c r="A11" s="12" t="inlineStr">
        <is>
          <t>Stone</t>
        </is>
      </c>
      <c r="B11" s="12" t="inlineStr">
        <is>
          <t>Software Engineer II Golang</t>
        </is>
      </c>
      <c r="C11" s="12" t="inlineStr">
        <is>
          <t>Remoto</t>
        </is>
      </c>
      <c r="D11" s="11" t="inlineStr">
        <is>
          <t>https://remoteOK.com/remote-jobs/remote-software-engineer-ii-golang-stone-1136569</t>
        </is>
      </c>
      <c r="E11" s="12" t="inlineStr">
        <is>
          <t>B</t>
        </is>
      </c>
      <c r="F11" s="12" t="inlineStr">
        <is>
          <t>Software Engineering</t>
        </is>
      </c>
      <c r="G11" s="12" t="inlineStr">
        <is>
          <t>2026-09-12</t>
        </is>
      </c>
      <c r="H11" s="12" t="inlineStr">
        <is>
          <t>Not Applied</t>
        </is>
      </c>
      <c r="I11" s="12" t="inlineStr"/>
      <c r="J11" s="12" t="inlineStr">
        <is>
          <t>Remote</t>
        </is>
      </c>
      <c r="K11" s="12" t="inlineStr">
        <is>
          <t>Not Eligible</t>
        </is>
      </c>
      <c r="L11" s="12" t="n">
        <v>70</v>
      </c>
      <c r="M11" s="4" t="n"/>
      <c r="N11" s="4" t="n"/>
      <c r="O11" s="4" t="n"/>
      <c r="P11" s="4" t="n"/>
      <c r="Q11" s="4" t="n"/>
      <c r="R11" s="12" t="inlineStr"/>
    </row>
    <row r="12">
      <c r="A12" s="12" t="inlineStr">
        <is>
          <t>Zenara Health</t>
        </is>
      </c>
      <c r="B12" s="12" t="inlineStr">
        <is>
          <t>DevOps &amp; Security Engineer - AI-Native Healthcare SaaS</t>
        </is>
      </c>
      <c r="C12" s="12" t="inlineStr">
        <is>
          <t>Anywhere in the World</t>
        </is>
      </c>
      <c r="D12" s="11" t="inlineStr">
        <is>
          <t>https://weworkremotely.com/remote-jobs/zenara-health-devops-security-engineer-ai-native-healthcare-saas</t>
        </is>
      </c>
      <c r="E12" s="12" t="inlineStr">
        <is>
          <t>A</t>
        </is>
      </c>
      <c r="F12" s="12" t="inlineStr">
        <is>
          <t>Cloud/DevOps</t>
        </is>
      </c>
      <c r="G12" s="12" t="inlineStr">
        <is>
          <t>2026-09-12</t>
        </is>
      </c>
      <c r="H12" s="12" t="inlineStr">
        <is>
          <t>Not Applied</t>
        </is>
      </c>
      <c r="I12" s="12" t="inlineStr"/>
      <c r="J12" s="12" t="inlineStr">
        <is>
          <t>Full-Time</t>
        </is>
      </c>
      <c r="K12" s="12" t="inlineStr">
        <is>
          <t>Eligible</t>
        </is>
      </c>
      <c r="L12" s="12" t="n">
        <v>70</v>
      </c>
      <c r="M12" s="4" t="n"/>
      <c r="N12" s="4" t="n"/>
      <c r="O12" s="4" t="n"/>
      <c r="P12" s="4" t="n"/>
      <c r="Q12" s="4" t="n"/>
      <c r="R12" s="12" t="inlineStr">
        <is>
          <t>Infrastructure as Code, Container orchestration, Monitoring and alerting</t>
        </is>
      </c>
    </row>
    <row r="13">
      <c r="A13" s="12" t="inlineStr">
        <is>
          <t>JFrog</t>
        </is>
      </c>
      <c r="B13" s="12" t="inlineStr">
        <is>
          <t>Professional Services DevOps Engineer</t>
        </is>
      </c>
      <c r="C13" s="12" t="inlineStr">
        <is>
          <t>Anywhere in the World</t>
        </is>
      </c>
      <c r="D13" s="11" t="inlineStr">
        <is>
          <t>https://weworkremotely.com/remote-jobs/jfrog-professional-services-devops-engineer</t>
        </is>
      </c>
      <c r="E13" s="12" t="inlineStr">
        <is>
          <t>A</t>
        </is>
      </c>
      <c r="F13" s="12" t="inlineStr">
        <is>
          <t>Cloud/DevOps</t>
        </is>
      </c>
      <c r="G13" s="12" t="inlineStr">
        <is>
          <t>2026-09-12</t>
        </is>
      </c>
      <c r="H13" s="12" t="inlineStr">
        <is>
          <t>Not Applied</t>
        </is>
      </c>
      <c r="I13" s="12" t="inlineStr"/>
      <c r="J13" s="12" t="inlineStr">
        <is>
          <t>Full-Time</t>
        </is>
      </c>
      <c r="K13" s="12" t="inlineStr">
        <is>
          <t>Not Eligible</t>
        </is>
      </c>
      <c r="L13" s="12" t="n">
        <v>62</v>
      </c>
      <c r="M13" s="4" t="n"/>
      <c r="N13" s="4" t="n"/>
      <c r="O13" s="4" t="n"/>
      <c r="P13" s="4" t="n"/>
      <c r="Q13" s="4" t="n"/>
      <c r="R13" s="12" t="inlineStr">
        <is>
          <t>Infrastructure as Code, CI/CD, Cloud Native, Continuous Integration, Continuous Deployment</t>
        </is>
      </c>
    </row>
    <row r="14">
      <c r="A14" s="12" t="inlineStr">
        <is>
          <t>Grafana Labs</t>
        </is>
      </c>
      <c r="B14" s="12" t="inlineStr">
        <is>
          <t>Backend Engineer - Platform - Stacks | UK | Remote</t>
        </is>
      </c>
      <c r="C14" s="12" t="inlineStr">
        <is>
          <t>Germany,  Ireland,  Spain,  Sweden,  UK</t>
        </is>
      </c>
      <c r="D14" s="11" t="inlineStr">
        <is>
          <t>https://jobicy.com/jobs/152920-backend-engineer-platform-stacks-uk-remote</t>
        </is>
      </c>
      <c r="E14" s="12" t="inlineStr">
        <is>
          <t>A</t>
        </is>
      </c>
      <c r="F14" s="12" t="inlineStr">
        <is>
          <t>Cloud/DevOps</t>
        </is>
      </c>
      <c r="G14" s="12" t="inlineStr">
        <is>
          <t>2026-09-12</t>
        </is>
      </c>
      <c r="H14" s="12" t="inlineStr">
        <is>
          <t>Not Applied</t>
        </is>
      </c>
      <c r="I14" s="12" t="inlineStr"/>
      <c r="J14" s="12" t="inlineStr">
        <is>
          <t>Full-Time</t>
        </is>
      </c>
      <c r="K14" s="12" t="inlineStr">
        <is>
          <t>Not Eligible</t>
        </is>
      </c>
      <c r="L14" s="12" t="n">
        <v>62</v>
      </c>
      <c r="M14" s="4" t="n"/>
      <c r="N14" s="4" t="n"/>
      <c r="O14" s="4" t="n"/>
      <c r="P14" s="4" t="n"/>
      <c r="Q14" s="4" t="n"/>
      <c r="R14" s="12" t="inlineStr">
        <is>
          <t>Infrastructure as Code, Observability, Microservices</t>
        </is>
      </c>
    </row>
    <row r="15">
      <c r="A15" s="12" t="inlineStr">
        <is>
          <t>Stone</t>
        </is>
      </c>
      <c r="B15" s="12" t="inlineStr">
        <is>
          <t>Software Engineer III Mobile</t>
        </is>
      </c>
      <c r="C15" s="12" t="inlineStr">
        <is>
          <t>Remoto</t>
        </is>
      </c>
      <c r="D15" s="11" t="inlineStr">
        <is>
          <t>https://remoteOK.com/remote-jobs/remote-software-engineer-iii-mobile-stone-1136570</t>
        </is>
      </c>
      <c r="E15" s="12" t="inlineStr">
        <is>
          <t>B</t>
        </is>
      </c>
      <c r="F15" s="12" t="inlineStr">
        <is>
          <t>Software / Python</t>
        </is>
      </c>
      <c r="G15" s="12" t="inlineStr">
        <is>
          <t>2026-09-12</t>
        </is>
      </c>
      <c r="H15" s="12" t="inlineStr">
        <is>
          <t>Not Applied</t>
        </is>
      </c>
      <c r="I15" s="12" t="inlineStr"/>
      <c r="J15" s="12" t="inlineStr">
        <is>
          <t>Remote</t>
        </is>
      </c>
      <c r="K15" s="12" t="inlineStr">
        <is>
          <t>Not Eligible</t>
        </is>
      </c>
      <c r="L15" s="12" t="n">
        <v>58</v>
      </c>
      <c r="M15" s="4" t="n"/>
      <c r="N15" s="4" t="n"/>
      <c r="O15" s="4" t="n"/>
      <c r="P15" s="4" t="n"/>
      <c r="Q15" s="4" t="n"/>
      <c r="R15" s="12" t="inlineStr"/>
    </row>
    <row r="16">
      <c r="A16" s="12" t="inlineStr">
        <is>
          <t>Wakacje.pl</t>
        </is>
      </c>
      <c r="B16" s="12" t="inlineStr">
        <is>
          <t>Software Engineer GO</t>
        </is>
      </c>
      <c r="C16" s="12" t="inlineStr">
        <is>
          <t>Remote</t>
        </is>
      </c>
      <c r="D16" s="11" t="inlineStr">
        <is>
          <t>https://remoteOK.com/remote-jobs/remote-software-engineer-go-wakacje-pl-1135634</t>
        </is>
      </c>
      <c r="E16" s="12" t="inlineStr">
        <is>
          <t>B</t>
        </is>
      </c>
      <c r="F16" s="12" t="inlineStr">
        <is>
          <t>Software Engineering</t>
        </is>
      </c>
      <c r="G16" s="12" t="inlineStr">
        <is>
          <t>2026-09-12</t>
        </is>
      </c>
      <c r="H16" s="12" t="inlineStr">
        <is>
          <t>Not Applied</t>
        </is>
      </c>
      <c r="I16" s="12" t="inlineStr"/>
      <c r="J16" s="12" t="inlineStr">
        <is>
          <t>Remote</t>
        </is>
      </c>
      <c r="K16" s="12" t="inlineStr">
        <is>
          <t>Not Eligible</t>
        </is>
      </c>
      <c r="L16" s="12" t="n">
        <v>40</v>
      </c>
      <c r="M16" s="4" t="n"/>
      <c r="N16" s="4" t="n"/>
      <c r="O16" s="4" t="n"/>
      <c r="P16" s="4" t="n"/>
      <c r="Q16" s="4" t="n"/>
      <c r="R16" s="12" t="inlineStr">
        <is>
          <t>API integrations</t>
        </is>
      </c>
    </row>
    <row r="17">
      <c r="A17" s="12" t="inlineStr">
        <is>
          <t>AWeber</t>
        </is>
      </c>
      <c r="B17" s="12" t="inlineStr">
        <is>
          <t>Operations Engineer II</t>
        </is>
      </c>
      <c r="C17" s="12" t="inlineStr">
        <is>
          <t xml:space="preserve">Uluberia-II, </t>
        </is>
      </c>
      <c r="D17" s="11" t="inlineStr">
        <is>
          <t>https://remoteOK.com/remote-jobs/remote-operations-engineer-ii-aweber-1136778</t>
        </is>
      </c>
      <c r="E17" s="12" t="inlineStr">
        <is>
          <t>A</t>
        </is>
      </c>
      <c r="F17" s="12" t="inlineStr">
        <is>
          <t>Unknown</t>
        </is>
      </c>
      <c r="G17" s="12" t="inlineStr">
        <is>
          <t>2026-09-12</t>
        </is>
      </c>
      <c r="H17" s="12" t="inlineStr">
        <is>
          <t>Not Applied</t>
        </is>
      </c>
      <c r="I17" s="12" t="inlineStr"/>
      <c r="J17" s="12" t="inlineStr">
        <is>
          <t>Remote</t>
        </is>
      </c>
      <c r="K17" s="12" t="inlineStr">
        <is>
          <t>Not Eligible</t>
        </is>
      </c>
      <c r="L17" s="12" t="n">
        <v>0</v>
      </c>
      <c r="M17" s="4" t="n"/>
      <c r="N17" s="4" t="n"/>
      <c r="O17" s="4" t="n"/>
      <c r="P17" s="4" t="n"/>
      <c r="Q17" s="4" t="n"/>
      <c r="R17" s="12" t="inlineStr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</row>
    <row r="61"/>
    <row r="62"/>
    <row r="63">
      <c r="A63" s="1" t="inlineStr">
        <is>
          <t>Legend: Fill in every column for each row you add. Dropdowns are pre-set for Resume, Job category, Application status, Work type, Priority, Visa/work eligibility. Rows 2-3 above are real entries (IBM offer, DFAWS2526 application) shown as a format example.</t>
        </is>
      </c>
    </row>
  </sheetData>
  <mergeCells count="1">
    <mergeCell ref="A63:Q63"/>
  </mergeCells>
  <conditionalFormatting sqref="H2:H60">
    <cfRule type="cellIs" priority="2" operator="equal" dxfId="5">
      <formula>"Offer"</formula>
    </cfRule>
    <cfRule type="cellIs" priority="3" operator="equal" dxfId="5">
      <formula>"Offer Accepted"</formula>
    </cfRule>
    <cfRule type="cellIs" priority="4" operator="equal" dxfId="4">
      <formula>"Rejected"</formula>
    </cfRule>
    <cfRule type="cellIs" priority="5" operator="equal" dxfId="2">
      <formula>"Interview Scheduled"</formula>
    </cfRule>
    <cfRule type="cellIs" priority="6" operator="equal" dxfId="2">
      <formula>"Interview Completed"</formula>
    </cfRule>
    <cfRule type="cellIs" priority="7" operator="equal" dxfId="1">
      <formula>"Applied"</formula>
    </cfRule>
  </conditionalFormatting>
  <conditionalFormatting sqref="M2:M60">
    <cfRule type="cellIs" priority="8" operator="equal" dxfId="0">
      <formula>"A"</formula>
    </cfRule>
  </conditionalFormatting>
  <conditionalFormatting sqref="H2:H163">
    <cfRule type="cellIs" priority="8" operator="equal" dxfId="7">
      <formula>"Offer"</formula>
    </cfRule>
    <cfRule type="cellIs" priority="9" operator="equal" dxfId="7">
      <formula>"Offer Accepted"</formula>
    </cfRule>
    <cfRule type="cellIs" priority="10" operator="equal" dxfId="8">
      <formula>"Rejected"</formula>
    </cfRule>
    <cfRule type="cellIs" priority="11" operator="equal" dxfId="9">
      <formula>"Interview Scheduled"</formula>
    </cfRule>
    <cfRule type="cellIs" priority="12" operator="equal" dxfId="9">
      <formula>"Interview Completed"</formula>
    </cfRule>
    <cfRule type="cellIs" priority="13" operator="equal" dxfId="10">
      <formula>"Applied"</formula>
    </cfRule>
    <cfRule type="cellIs" priority="15" operator="equal" dxfId="7">
      <formula>"Offer"</formula>
    </cfRule>
    <cfRule type="cellIs" priority="16" operator="equal" dxfId="7">
      <formula>"Offer Accepted"</formula>
    </cfRule>
    <cfRule type="cellIs" priority="17" operator="equal" dxfId="8">
      <formula>"Rejected"</formula>
    </cfRule>
    <cfRule type="cellIs" priority="18" operator="equal" dxfId="9">
      <formula>"Interview Scheduled"</formula>
    </cfRule>
    <cfRule type="cellIs" priority="19" operator="equal" dxfId="9">
      <formula>"Interview Completed"</formula>
    </cfRule>
    <cfRule type="cellIs" priority="20" operator="equal" dxfId="10">
      <formula>"Applied"</formula>
    </cfRule>
  </conditionalFormatting>
  <conditionalFormatting sqref="M2:M163">
    <cfRule type="cellIs" priority="14" operator="equal" dxfId="11">
      <formula>"A"</formula>
    </cfRule>
    <cfRule type="cellIs" priority="21" operator="equal" dxfId="11">
      <formula>"A"</formula>
    </cfRule>
  </conditionalFormatting>
  <dataValidations count="6">
    <dataValidation sqref="E2:E163" showDropDown="0" showInputMessage="0" showErrorMessage="0" allowBlank="1" type="list">
      <formula1>"A,B,C,D"</formula1>
    </dataValidation>
    <dataValidation sqref="F2:F163" showDropDown="0" showInputMessage="0" showErrorMessage="0" allowBlank="1" type="list">
      <formula1>"Data Centre,Cloud/DevOps,Software/Automation,IT Support/QA,Other"</formula1>
    </dataValidation>
    <dataValidation sqref="H2:H163" showDropDown="0" showInputMessage="0" showErrorMessage="0" allowBlank="1" type="list">
      <formula1>"Not Applied,Applied,Under Review,Interview Scheduled,Interview Completed,Offer,Offer Accepted,Rejected,Withdrawn"</formula1>
    </dataValidation>
    <dataValidation sqref="J2:J163" showDropDown="0" showInputMessage="0" showErrorMessage="0" allowBlank="1" type="list">
      <formula1>"Full-time,Part-time,Contract,Internship"</formula1>
    </dataValidation>
    <dataValidation sqref="M2:M163" showDropDown="0" showInputMessage="0" showErrorMessage="0" allowBlank="1" type="list">
      <formula1>"A,B,C"</formula1>
    </dataValidation>
    <dataValidation sqref="K2:K163" showDropDown="0" showInputMessage="0" showErrorMessage="0" allowBlank="1" type="list">
      <formula1>"Eligible,Not Eligible,Sponsorship Required,Check,N/A"</formula1>
    </dataValidation>
  </dataValidations>
  <hyperlinks>
    <hyperlink xmlns:r="http://schemas.openxmlformats.org/officeDocument/2006/relationships" ref="D4" r:id="rId1"/>
    <hyperlink xmlns:r="http://schemas.openxmlformats.org/officeDocument/2006/relationships" ref="D5" r:id="rId2"/>
    <hyperlink xmlns:r="http://schemas.openxmlformats.org/officeDocument/2006/relationships" ref="D6" r:id="rId3"/>
    <hyperlink xmlns:r="http://schemas.openxmlformats.org/officeDocument/2006/relationships" ref="D7" r:id="rId4"/>
    <hyperlink xmlns:r="http://schemas.openxmlformats.org/officeDocument/2006/relationships" ref="D8" r:id="rId5"/>
    <hyperlink xmlns:r="http://schemas.openxmlformats.org/officeDocument/2006/relationships" ref="D9" r:id="rId6"/>
    <hyperlink xmlns:r="http://schemas.openxmlformats.org/officeDocument/2006/relationships" ref="D10" r:id="rId7"/>
    <hyperlink xmlns:r="http://schemas.openxmlformats.org/officeDocument/2006/relationships" ref="D11" r:id="rId8"/>
    <hyperlink xmlns:r="http://schemas.openxmlformats.org/officeDocument/2006/relationships" ref="D12" r:id="rId9"/>
    <hyperlink xmlns:r="http://schemas.openxmlformats.org/officeDocument/2006/relationships" ref="D13" r:id="rId10"/>
    <hyperlink xmlns:r="http://schemas.openxmlformats.org/officeDocument/2006/relationships" ref="D14" r:id="rId11"/>
    <hyperlink xmlns:r="http://schemas.openxmlformats.org/officeDocument/2006/relationships" ref="D15" r:id="rId12"/>
    <hyperlink xmlns:r="http://schemas.openxmlformats.org/officeDocument/2006/relationships" ref="D16" r:id="rId13"/>
    <hyperlink xmlns:r="http://schemas.openxmlformats.org/officeDocument/2006/relationships" ref="D17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4"/>
  <cols>
    <col width="14" customWidth="1" min="1" max="1"/>
    <col width="30" customWidth="1" min="2" max="2"/>
    <col width="70" customWidth="1" min="3" max="3"/>
  </cols>
  <sheetData>
    <row r="1">
      <c r="A1" s="2" t="inlineStr">
        <is>
          <t>Resume Code</t>
        </is>
      </c>
      <c r="B1" s="2" t="inlineStr">
        <is>
          <t>Target Track</t>
        </is>
      </c>
      <c r="C1" s="2" t="inlineStr">
        <is>
          <t>Focus</t>
        </is>
      </c>
    </row>
    <row r="2" ht="26.4" customHeight="1">
      <c r="A2" s="5" t="inlineStr">
        <is>
          <t>A</t>
        </is>
      </c>
      <c r="B2" s="5" t="inlineStr">
        <is>
          <t>Cloud / DevOps / AWS</t>
        </is>
      </c>
      <c r="C2" s="5" t="inlineStr">
        <is>
          <t>Terraform, AWS IAM/VPC, Kafka+ECS/Fargate threat detection, IEEE/CLOSER/FLIC publications, Jenkins/CloudWatch</t>
        </is>
      </c>
    </row>
    <row r="3" ht="26.4" customHeight="1">
      <c r="A3" s="5" t="inlineStr">
        <is>
          <t>B</t>
        </is>
      </c>
      <c r="B3" s="5" t="inlineStr">
        <is>
          <t>Software / Python / Automation</t>
        </is>
      </c>
      <c r="C3" s="5" t="inlineStr">
        <is>
          <t>Python ML pipeline (XGBoost/PPO/Isolation Forest), REST API work, Resolvr LangGraph/MCP project</t>
        </is>
      </c>
    </row>
    <row r="4" ht="26.4" customHeight="1">
      <c r="A4" s="5" t="inlineStr">
        <is>
          <t>C</t>
        </is>
      </c>
      <c r="B4" s="5" t="inlineStr">
        <is>
          <t>General IT / Technical Support / QA</t>
        </is>
      </c>
      <c r="C4" s="5" t="inlineStr">
        <is>
          <t>Troubleshooting-framed NCI+Turtlewig+Inovera experience, Pytest/FastAPI TestClient QA angle</t>
        </is>
      </c>
    </row>
    <row r="5" ht="26.4" customHeight="1">
      <c r="A5" s="5" t="inlineStr">
        <is>
          <t>D</t>
        </is>
      </c>
      <c r="B5" s="5" t="inlineStr">
        <is>
          <t>Data Centre Technician (DFAWS2526)</t>
        </is>
      </c>
      <c r="C5" s="5" t="inlineStr">
        <is>
          <t>Systems &amp; networking led, Turtlewig excluded, lab coordinator + IoT/ML final-year project emphasized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zoomScaleNormal="100" workbookViewId="0">
      <selection activeCell="A1" sqref="A1"/>
    </sheetView>
  </sheetViews>
  <sheetFormatPr baseColWidth="8" defaultColWidth="8.6640625" defaultRowHeight="14.4"/>
  <cols>
    <col width="26" customWidth="1" min="1" max="1"/>
    <col width="12" customWidth="1" min="2" max="2"/>
  </cols>
  <sheetData>
    <row r="1" ht="17.4" customHeight="1">
      <c r="A1" s="6" t="inlineStr">
        <is>
          <t>Job Search Summary</t>
        </is>
      </c>
    </row>
    <row r="3">
      <c r="A3" t="inlineStr">
        <is>
          <t>Total rows logged</t>
        </is>
      </c>
      <c r="B3">
        <f>COUNTA('Job Tracker'!A2:A60)</f>
        <v/>
      </c>
    </row>
    <row r="5">
      <c r="A5" s="7" t="inlineStr">
        <is>
          <t>By Application Status</t>
        </is>
      </c>
    </row>
    <row r="6">
      <c r="A6" s="8" t="inlineStr">
        <is>
          <t>Not Applied</t>
        </is>
      </c>
      <c r="B6" s="8">
        <f>COUNTIF('Job Tracker'!$H$2:$H$60,A6)</f>
        <v/>
      </c>
    </row>
    <row r="7">
      <c r="A7" s="8" t="inlineStr">
        <is>
          <t>Applied</t>
        </is>
      </c>
      <c r="B7" s="8">
        <f>COUNTIF('Job Tracker'!$H$2:$H$60,A7)</f>
        <v/>
      </c>
    </row>
    <row r="8">
      <c r="A8" s="8" t="inlineStr">
        <is>
          <t>Under Review</t>
        </is>
      </c>
      <c r="B8" s="8">
        <f>COUNTIF('Job Tracker'!$H$2:$H$60,A8)</f>
        <v/>
      </c>
    </row>
    <row r="9">
      <c r="A9" s="8" t="inlineStr">
        <is>
          <t>Interview Scheduled</t>
        </is>
      </c>
      <c r="B9" s="8">
        <f>COUNTIF('Job Tracker'!$H$2:$H$60,A9)</f>
        <v/>
      </c>
    </row>
    <row r="10">
      <c r="A10" s="8" t="inlineStr">
        <is>
          <t>Interview Completed</t>
        </is>
      </c>
      <c r="B10" s="8">
        <f>COUNTIF('Job Tracker'!$H$2:$H$60,A10)</f>
        <v/>
      </c>
    </row>
    <row r="11">
      <c r="A11" s="8" t="inlineStr">
        <is>
          <t>Offer</t>
        </is>
      </c>
      <c r="B11" s="8">
        <f>COUNTIF('Job Tracker'!$H$2:$H$60,A11)</f>
        <v/>
      </c>
    </row>
    <row r="12">
      <c r="A12" s="8" t="inlineStr">
        <is>
          <t>Offer Accepted</t>
        </is>
      </c>
      <c r="B12" s="8">
        <f>COUNTIF('Job Tracker'!$H$2:$H$60,A12)</f>
        <v/>
      </c>
    </row>
    <row r="13">
      <c r="A13" s="8" t="inlineStr">
        <is>
          <t>Rejected</t>
        </is>
      </c>
      <c r="B13" s="8">
        <f>COUNTIF('Job Tracker'!$H$2:$H$60,A13)</f>
        <v/>
      </c>
    </row>
    <row r="14">
      <c r="A14" s="8" t="inlineStr">
        <is>
          <t>Withdrawn</t>
        </is>
      </c>
      <c r="B14" s="8">
        <f>COUNTIF('Job Tracker'!$H$2:$H$60,A14)</f>
        <v/>
      </c>
    </row>
    <row r="16">
      <c r="A16" s="7" t="inlineStr">
        <is>
          <t>By Job Category</t>
        </is>
      </c>
    </row>
    <row r="17">
      <c r="A17" s="8" t="inlineStr">
        <is>
          <t>Data Centre</t>
        </is>
      </c>
      <c r="B17" s="8">
        <f>COUNTIF('Job Tracker'!$F$2:$F$60,A17)</f>
        <v/>
      </c>
    </row>
    <row r="18">
      <c r="A18" s="8" t="inlineStr">
        <is>
          <t>Cloud/DevOps</t>
        </is>
      </c>
      <c r="B18" s="8">
        <f>COUNTIF('Job Tracker'!$F$2:$F$60,A18)</f>
        <v/>
      </c>
    </row>
    <row r="19">
      <c r="A19" s="8" t="inlineStr">
        <is>
          <t>Software/Automation</t>
        </is>
      </c>
      <c r="B19" s="8">
        <f>COUNTIF('Job Tracker'!$F$2:$F$60,A19)</f>
        <v/>
      </c>
    </row>
    <row r="20">
      <c r="A20" s="8" t="inlineStr">
        <is>
          <t>IT Support/QA</t>
        </is>
      </c>
      <c r="B20" s="8">
        <f>COUNTIF('Job Tracker'!$F$2:$F$60,A20)</f>
        <v/>
      </c>
    </row>
    <row r="21">
      <c r="A21" s="8" t="inlineStr">
        <is>
          <t>Other</t>
        </is>
      </c>
      <c r="B21" s="8">
        <f>COUNTIF('Job Tracker'!$F$2:$F$60,A21)</f>
        <v/>
      </c>
    </row>
    <row r="23">
      <c r="A23" s="7" t="inlineStr">
        <is>
          <t>By Priority</t>
        </is>
      </c>
    </row>
    <row r="24">
      <c r="A24" s="8" t="inlineStr">
        <is>
          <t>A</t>
        </is>
      </c>
      <c r="B24" s="8">
        <f>COUNTIF('Job Tracker'!$M$2:$M$60,A24)</f>
        <v/>
      </c>
    </row>
    <row r="25">
      <c r="A25" s="8" t="inlineStr">
        <is>
          <t>B</t>
        </is>
      </c>
      <c r="B25" s="8">
        <f>COUNTIF('Job Tracker'!$M$2:$M$60,A25)</f>
        <v/>
      </c>
    </row>
    <row r="26">
      <c r="A26" s="8" t="inlineStr">
        <is>
          <t>C</t>
        </is>
      </c>
      <c r="B26" s="8">
        <f>COUNTIF('Job Tracker'!$M$2:$M$60,A26)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2026-09-03T10:31:44Z</dcterms:created>
  <dcterms:modified xsi:type="dcterms:W3CDTF">2026-09-12T12:33:59Z</dcterms:modified>
  <cp:lastModifiedBy>RANJITH Bhaskaran</cp:lastModifiedBy>
  <cp:revision>0</cp:revision>
</cp:coreProperties>
</file>